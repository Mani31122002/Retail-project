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in\Downloads\"/>
    </mc:Choice>
  </mc:AlternateContent>
  <xr:revisionPtr revIDLastSave="0" documentId="13_ncr:1_{D712563D-F936-4521-8DAE-DFF3553A35A0}" xr6:coauthVersionLast="47" xr6:coauthVersionMax="47" xr10:uidLastSave="{00000000-0000-0000-0000-000000000000}"/>
  <bookViews>
    <workbookView xWindow="-108" yWindow="-108" windowWidth="23256" windowHeight="13176" xr2:uid="{B8B8F3CE-C5AD-451F-99E6-336BC43D9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N2" i="1"/>
  <c r="O2" i="1" s="1"/>
  <c r="O42" i="1" l="1"/>
  <c r="O30" i="1"/>
  <c r="O18" i="1"/>
</calcChain>
</file>

<file path=xl/sharedStrings.xml><?xml version="1.0" encoding="utf-8"?>
<sst xmlns="http://schemas.openxmlformats.org/spreadsheetml/2006/main" count="375" uniqueCount="42">
  <si>
    <t>OrderID</t>
  </si>
  <si>
    <t>OrderDate</t>
  </si>
  <si>
    <t>StoreName</t>
  </si>
  <si>
    <t>City</t>
  </si>
  <si>
    <t>Gender</t>
  </si>
  <si>
    <t>ProductCategory</t>
  </si>
  <si>
    <t>ProductType</t>
  </si>
  <si>
    <t>Brand</t>
  </si>
  <si>
    <t>ProductName</t>
  </si>
  <si>
    <t>Quantity</t>
  </si>
  <si>
    <t>UnitPrice</t>
  </si>
  <si>
    <t>DiscountPercent</t>
  </si>
  <si>
    <t>SalesAmount</t>
  </si>
  <si>
    <t>Vijayawada Store</t>
  </si>
  <si>
    <t>Vijayawada</t>
  </si>
  <si>
    <t>Men</t>
  </si>
  <si>
    <t>Clothing</t>
  </si>
  <si>
    <t>Western</t>
  </si>
  <si>
    <t>DNMX</t>
  </si>
  <si>
    <t>DNMX Jeans</t>
  </si>
  <si>
    <t>Vizag Store</t>
  </si>
  <si>
    <t>Visakhapatnam</t>
  </si>
  <si>
    <t>Team Spirit</t>
  </si>
  <si>
    <t>Team Spirit T-Shirt</t>
  </si>
  <si>
    <t>Women</t>
  </si>
  <si>
    <t>Indian</t>
  </si>
  <si>
    <t>AVVASA</t>
  </si>
  <si>
    <t>AVVASA Kurta</t>
  </si>
  <si>
    <t>Rajahmundry Store</t>
  </si>
  <si>
    <t>Rajahmundry</t>
  </si>
  <si>
    <t>Rio</t>
  </si>
  <si>
    <t>Rio Jeans</t>
  </si>
  <si>
    <t>Guntur Store</t>
  </si>
  <si>
    <t>Guntur</t>
  </si>
  <si>
    <t>Kids</t>
  </si>
  <si>
    <t>Gini &amp; Jony</t>
  </si>
  <si>
    <t>Kids Frock</t>
  </si>
  <si>
    <t>profit</t>
  </si>
  <si>
    <t>MRP</t>
  </si>
  <si>
    <t>cost of product</t>
  </si>
  <si>
    <t>MRP per unit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</si>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</sst>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10C32-ABA9-47E2-9DB7-E5AA594A013E}" name="Table1" displayName="Table1" ref="A1:R52" totalsRowShown="0">
  <autoFilter ref="A1:R52" xr:uid="{DAC10C32-ABA9-47E2-9DB7-E5AA594A013E}"/>
  <tableColumns count="18">
    <tableColumn id="1" xr3:uid="{56CD05FA-7C14-4F39-AB4E-8072338BD4E3}" name="OrderID"/>
    <tableColumn id="2" xr3:uid="{1A59969D-21C6-4FEF-9728-A1ACBDA4E94E}" name="OrderDate" dataDxfId="6"/>
    <tableColumn id="3" xr3:uid="{DDF06EBB-A143-4D9B-B527-C2F822B4325C}" name="StoreName"/>
    <tableColumn id="4" xr3:uid="{CB1CC6D4-C1C8-44EF-A5AC-32B5A684A0BC}" name="City"/>
    <tableColumn id="5" xr3:uid="{12A6C967-95A7-4BB3-BACD-20693E6E7446}" name="Gender"/>
    <tableColumn id="6" xr3:uid="{9AE79639-362C-4FAF-AAEA-FEB9B08BB301}" name="ProductCategory"/>
    <tableColumn id="7" xr3:uid="{87AEBA69-C5CA-47CD-B9EC-A7DB3DEFD60B}" name="ProductType"/>
    <tableColumn id="8" xr3:uid="{E0B58655-E019-4045-965C-43E832FFF43B}" name="Brand"/>
    <tableColumn id="9" xr3:uid="{41458476-C6FB-4891-926C-A20E61D32948}" name="ProductName"/>
    <tableColumn id="10" xr3:uid="{8F6928B4-55F5-4053-897A-5C12E9E6F734}" name="Quantity"/>
    <tableColumn id="11" xr3:uid="{9F2EDD39-C0AD-488B-A7F8-329E878DFA76}" name="UnitPrice"/>
    <tableColumn id="12" xr3:uid="{20E7AFFC-CA8C-48E7-AB52-18D33386DBED}" name="DiscountPercent"/>
    <tableColumn id="13" xr3:uid="{FC126A33-C785-4857-B9A3-2E100ED68269}" name="SalesAmount"/>
    <tableColumn id="14" xr3:uid="{A426AFA5-E4CE-4370-A229-C792B9CA23F1}" name="profit" dataDxfId="5">
      <calculatedColumnFormula>Table1[[#This Row],[SalesAmount]]*0.22</calculatedColumnFormula>
    </tableColumn>
    <tableColumn id="15" xr3:uid="{D08440B9-2A62-4846-A442-E29D8107BE2F}" name="cost of product" dataDxfId="4">
      <calculatedColumnFormula>Table1[[#This Row],[SalesAmount]]-Table1[[#This Row],[profit]]</calculatedColumnFormula>
    </tableColumn>
    <tableColumn id="16" xr3:uid="{13E7277C-D5A8-4128-9686-DC52E9F0DF25}" name="MRP" dataDxfId="3">
      <calculatedColumnFormula>Table1[[#This Row],[UnitPrice]]*Table1[[#This Row],[Quantity]]</calculatedColumnFormula>
    </tableColumn>
    <tableColumn id="18" xr3:uid="{82465870-38EC-48AF-A6EC-E014C7061FA0}" name="MRP per unit" dataDxfId="2">
      <calculatedColumnFormula>Table1[[#This Row],[UnitPrice]]/Table1[[#This Row],[Quantity]]</calculatedColumnFormula>
    </tableColumn>
    <tableColumn id="19" xr3:uid="{FA271C53-A058-4953-A1B3-FF15A904748D}" name="Season" dataDxfId="1">
      <calculatedColumnFormula>IF(OR(MONTH(B2)=12,MONTH(B2)=1,MONTH(B2)=2),"Winter",
IF(OR(MONTH(B2)=3,MONTH(B2)=4,MONTH(B2)=5),"Summer",
IF(OR(MONTH(B2)=6,MONTH(B2)=7),"Monsoon","Festive")))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2FBA-3A6F-4A50-8B69-758D03CC3260}">
  <dimension ref="A1:R52"/>
  <sheetViews>
    <sheetView tabSelected="1" topLeftCell="C1" workbookViewId="0">
      <selection activeCell="A53" sqref="A53"/>
    </sheetView>
  </sheetViews>
  <sheetFormatPr defaultRowHeight="14.4" x14ac:dyDescent="0.3"/>
  <cols>
    <col min="1" max="1" width="9.44140625" customWidth="1"/>
    <col min="2" max="2" width="11.5546875" customWidth="1"/>
    <col min="3" max="3" width="16.5546875" bestFit="1" customWidth="1"/>
    <col min="4" max="4" width="13.5546875" bestFit="1" customWidth="1"/>
    <col min="5" max="5" width="9" customWidth="1"/>
    <col min="6" max="6" width="17.109375" customWidth="1"/>
    <col min="7" max="7" width="13.6640625" customWidth="1"/>
    <col min="8" max="8" width="10.109375" bestFit="1" customWidth="1"/>
    <col min="9" max="9" width="16" bestFit="1" customWidth="1"/>
    <col min="10" max="10" width="10.21875" customWidth="1"/>
    <col min="11" max="11" width="10.5546875" customWidth="1"/>
    <col min="12" max="12" width="16.6640625" customWidth="1"/>
    <col min="13" max="13" width="14" customWidth="1"/>
    <col min="15" max="15" width="12.109375" customWidth="1"/>
    <col min="16" max="16" width="10.5546875" customWidth="1"/>
    <col min="17" max="17" width="11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  <c r="O1" t="s">
        <v>39</v>
      </c>
      <c r="P1" t="s">
        <v>38</v>
      </c>
      <c r="Q1" t="s">
        <v>40</v>
      </c>
      <c r="R1" t="s">
        <v>41</v>
      </c>
    </row>
    <row r="2" spans="1:18" x14ac:dyDescent="0.3">
      <c r="A2">
        <v>40000</v>
      </c>
      <c r="B2" s="1">
        <v>45056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>
        <v>1760</v>
      </c>
      <c r="L2">
        <v>10</v>
      </c>
      <c r="M2">
        <v>3168</v>
      </c>
      <c r="N2">
        <f>Table1[[#This Row],[SalesAmount]]*0.22</f>
        <v>696.96</v>
      </c>
      <c r="O2">
        <f>Table1[[#This Row],[SalesAmount]]-Table1[[#This Row],[profit]]</f>
        <v>2471.04</v>
      </c>
      <c r="P2">
        <f>Table1[[#This Row],[UnitPrice]]*Table1[[#This Row],[Quantity]]</f>
        <v>3520</v>
      </c>
      <c r="Q2">
        <f>Table1[[#This Row],[UnitPrice]]/Table1[[#This Row],[Quantity]]</f>
        <v>880</v>
      </c>
      <c r="R2" t="str">
        <f t="shared" ref="R2:R33" si="0">IF(OR(MONTH(B2)=12,MONTH(B2)=1,MONTH(B2)=2),"Winter",
IF(OR(MONTH(B2)=3,MONTH(B2)=4,MONTH(B2)=5),"Summer",
IF(OR(MONTH(B2)=6,MONTH(B2)=7),"Monsoon","Festive")))</f>
        <v>Summer</v>
      </c>
    </row>
    <row r="3" spans="1:18" x14ac:dyDescent="0.3">
      <c r="A3">
        <v>40001</v>
      </c>
      <c r="B3" s="1">
        <v>45187</v>
      </c>
      <c r="C3" t="s">
        <v>20</v>
      </c>
      <c r="D3" t="s">
        <v>21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>
        <v>4</v>
      </c>
      <c r="K3">
        <v>680</v>
      </c>
      <c r="L3">
        <v>0</v>
      </c>
      <c r="M3">
        <v>2720</v>
      </c>
      <c r="N3">
        <f>Table1[[#This Row],[SalesAmount]]*0.22</f>
        <v>598.4</v>
      </c>
      <c r="O3">
        <f>Table1[[#This Row],[SalesAmount]]-Table1[[#This Row],[profit]]</f>
        <v>2121.6</v>
      </c>
      <c r="P3">
        <f>Table1[[#This Row],[UnitPrice]]*Table1[[#This Row],[Quantity]]</f>
        <v>2720</v>
      </c>
      <c r="Q3">
        <f>Table1[[#This Row],[UnitPrice]]/Table1[[#This Row],[Quantity]]</f>
        <v>170</v>
      </c>
      <c r="R3" t="str">
        <f>IF(OR(MONTH(B3)=12,MONTH(B3)=1,MONTH(B3)=2),"Winter",
IF(OR(MONTH(B3)=3,MONTH(B3)=4,MONTH(B3)=5),"Summer",
IF(OR(MONTH(B3)=6,MONTH(B3)=7),"Monsoon","Festive")))</f>
        <v>Festive</v>
      </c>
    </row>
    <row r="4" spans="1:18" x14ac:dyDescent="0.3">
      <c r="A4">
        <v>40002</v>
      </c>
      <c r="B4" s="1">
        <v>45057</v>
      </c>
      <c r="C4" t="s">
        <v>13</v>
      </c>
      <c r="D4" t="s">
        <v>14</v>
      </c>
      <c r="E4" t="s">
        <v>24</v>
      </c>
      <c r="F4" t="s">
        <v>16</v>
      </c>
      <c r="G4" t="s">
        <v>25</v>
      </c>
      <c r="H4" t="s">
        <v>26</v>
      </c>
      <c r="I4" t="s">
        <v>27</v>
      </c>
      <c r="J4">
        <v>2</v>
      </c>
      <c r="K4">
        <v>1570</v>
      </c>
      <c r="L4">
        <v>5</v>
      </c>
      <c r="M4">
        <v>2983</v>
      </c>
      <c r="N4">
        <f>Table1[[#This Row],[SalesAmount]]*0.22</f>
        <v>656.26</v>
      </c>
      <c r="O4">
        <f>Table1[[#This Row],[SalesAmount]]-Table1[[#This Row],[profit]]</f>
        <v>2326.7399999999998</v>
      </c>
      <c r="P4">
        <f>Table1[[#This Row],[UnitPrice]]*Table1[[#This Row],[Quantity]]</f>
        <v>3140</v>
      </c>
      <c r="Q4">
        <f>Table1[[#This Row],[UnitPrice]]/Table1[[#This Row],[Quantity]]</f>
        <v>785</v>
      </c>
      <c r="R4" t="str">
        <f t="shared" si="0"/>
        <v>Summer</v>
      </c>
    </row>
    <row r="5" spans="1:18" x14ac:dyDescent="0.3">
      <c r="A5">
        <v>40003</v>
      </c>
      <c r="B5" s="1">
        <v>45002</v>
      </c>
      <c r="C5" t="s">
        <v>28</v>
      </c>
      <c r="D5" t="s">
        <v>29</v>
      </c>
      <c r="E5" t="s">
        <v>24</v>
      </c>
      <c r="F5" t="s">
        <v>16</v>
      </c>
      <c r="G5" t="s">
        <v>17</v>
      </c>
      <c r="H5" t="s">
        <v>30</v>
      </c>
      <c r="I5" t="s">
        <v>31</v>
      </c>
      <c r="J5">
        <v>2</v>
      </c>
      <c r="K5">
        <v>1930</v>
      </c>
      <c r="L5">
        <v>10</v>
      </c>
      <c r="M5">
        <v>3474</v>
      </c>
      <c r="N5">
        <f>Table1[[#This Row],[SalesAmount]]*0.22</f>
        <v>764.28</v>
      </c>
      <c r="O5">
        <f>Table1[[#This Row],[SalesAmount]]-Table1[[#This Row],[profit]]</f>
        <v>2709.7200000000003</v>
      </c>
      <c r="P5">
        <f>Table1[[#This Row],[UnitPrice]]*Table1[[#This Row],[Quantity]]</f>
        <v>3860</v>
      </c>
      <c r="Q5">
        <f>Table1[[#This Row],[UnitPrice]]/Table1[[#This Row],[Quantity]]</f>
        <v>965</v>
      </c>
      <c r="R5" t="str">
        <f t="shared" si="0"/>
        <v>Summer</v>
      </c>
    </row>
    <row r="6" spans="1:18" x14ac:dyDescent="0.3">
      <c r="A6">
        <v>40004</v>
      </c>
      <c r="B6" s="1">
        <v>44954</v>
      </c>
      <c r="C6" t="s">
        <v>32</v>
      </c>
      <c r="D6" t="s">
        <v>33</v>
      </c>
      <c r="E6" t="s">
        <v>34</v>
      </c>
      <c r="F6" t="s">
        <v>16</v>
      </c>
      <c r="G6" t="s">
        <v>34</v>
      </c>
      <c r="H6" t="s">
        <v>35</v>
      </c>
      <c r="I6" t="s">
        <v>36</v>
      </c>
      <c r="J6">
        <v>1</v>
      </c>
      <c r="K6">
        <v>930</v>
      </c>
      <c r="L6">
        <v>15</v>
      </c>
      <c r="M6">
        <v>790.5</v>
      </c>
      <c r="N6">
        <f>Table1[[#This Row],[SalesAmount]]*0.22</f>
        <v>173.91</v>
      </c>
      <c r="O6">
        <f>Table1[[#This Row],[SalesAmount]]-Table1[[#This Row],[profit]]</f>
        <v>616.59</v>
      </c>
      <c r="P6">
        <f>Table1[[#This Row],[UnitPrice]]*Table1[[#This Row],[Quantity]]</f>
        <v>930</v>
      </c>
      <c r="Q6">
        <f>Table1[[#This Row],[UnitPrice]]/Table1[[#This Row],[Quantity]]</f>
        <v>930</v>
      </c>
      <c r="R6" t="str">
        <f t="shared" si="0"/>
        <v>Winter</v>
      </c>
    </row>
    <row r="7" spans="1:18" x14ac:dyDescent="0.3">
      <c r="A7">
        <v>40005</v>
      </c>
      <c r="B7" s="1">
        <v>45238</v>
      </c>
      <c r="C7" t="s">
        <v>13</v>
      </c>
      <c r="D7" t="s">
        <v>14</v>
      </c>
      <c r="E7" t="s">
        <v>24</v>
      </c>
      <c r="F7" t="s">
        <v>16</v>
      </c>
      <c r="G7" t="s">
        <v>17</v>
      </c>
      <c r="H7" t="s">
        <v>30</v>
      </c>
      <c r="I7" t="s">
        <v>31</v>
      </c>
      <c r="J7">
        <v>3</v>
      </c>
      <c r="K7">
        <v>1660</v>
      </c>
      <c r="L7">
        <v>5</v>
      </c>
      <c r="M7">
        <v>4731</v>
      </c>
      <c r="N7">
        <f>Table1[[#This Row],[SalesAmount]]*0.22</f>
        <v>1040.82</v>
      </c>
      <c r="O7">
        <f>Table1[[#This Row],[SalesAmount]]-Table1[[#This Row],[profit]]</f>
        <v>3690.1800000000003</v>
      </c>
      <c r="P7">
        <f>Table1[[#This Row],[UnitPrice]]*Table1[[#This Row],[Quantity]]</f>
        <v>4980</v>
      </c>
      <c r="Q7">
        <f>Table1[[#This Row],[UnitPrice]]/Table1[[#This Row],[Quantity]]</f>
        <v>553.33333333333337</v>
      </c>
      <c r="R7" t="str">
        <f t="shared" si="0"/>
        <v>Festive</v>
      </c>
    </row>
    <row r="8" spans="1:18" x14ac:dyDescent="0.3">
      <c r="A8">
        <v>40006</v>
      </c>
      <c r="B8" s="1">
        <v>44993</v>
      </c>
      <c r="C8" t="s">
        <v>32</v>
      </c>
      <c r="D8" t="s">
        <v>33</v>
      </c>
      <c r="E8" t="s">
        <v>15</v>
      </c>
      <c r="F8" t="s">
        <v>16</v>
      </c>
      <c r="G8" t="s">
        <v>17</v>
      </c>
      <c r="H8" t="s">
        <v>22</v>
      </c>
      <c r="I8" t="s">
        <v>23</v>
      </c>
      <c r="J8">
        <v>4</v>
      </c>
      <c r="K8">
        <v>640</v>
      </c>
      <c r="L8">
        <v>0</v>
      </c>
      <c r="M8">
        <v>2560</v>
      </c>
      <c r="N8">
        <f>Table1[[#This Row],[SalesAmount]]*0.22</f>
        <v>563.20000000000005</v>
      </c>
      <c r="O8">
        <f>Table1[[#This Row],[SalesAmount]]-Table1[[#This Row],[profit]]</f>
        <v>1996.8</v>
      </c>
      <c r="P8">
        <f>Table1[[#This Row],[UnitPrice]]*Table1[[#This Row],[Quantity]]</f>
        <v>2560</v>
      </c>
      <c r="Q8">
        <f>Table1[[#This Row],[UnitPrice]]/Table1[[#This Row],[Quantity]]</f>
        <v>160</v>
      </c>
      <c r="R8" t="str">
        <f t="shared" si="0"/>
        <v>Summer</v>
      </c>
    </row>
    <row r="9" spans="1:18" x14ac:dyDescent="0.3">
      <c r="A9">
        <v>40007</v>
      </c>
      <c r="B9" s="1">
        <v>45117</v>
      </c>
      <c r="C9" t="s">
        <v>28</v>
      </c>
      <c r="D9" t="s">
        <v>29</v>
      </c>
      <c r="E9" t="s">
        <v>24</v>
      </c>
      <c r="F9" t="s">
        <v>16</v>
      </c>
      <c r="G9" t="s">
        <v>25</v>
      </c>
      <c r="H9" t="s">
        <v>26</v>
      </c>
      <c r="I9" t="s">
        <v>27</v>
      </c>
      <c r="J9">
        <v>3</v>
      </c>
      <c r="K9">
        <v>1760</v>
      </c>
      <c r="L9">
        <v>15</v>
      </c>
      <c r="M9">
        <v>4488</v>
      </c>
      <c r="N9">
        <f>Table1[[#This Row],[SalesAmount]]*0.22</f>
        <v>987.36</v>
      </c>
      <c r="O9">
        <f>Table1[[#This Row],[SalesAmount]]-Table1[[#This Row],[profit]]</f>
        <v>3500.64</v>
      </c>
      <c r="P9">
        <f>Table1[[#This Row],[UnitPrice]]*Table1[[#This Row],[Quantity]]</f>
        <v>5280</v>
      </c>
      <c r="Q9">
        <f>Table1[[#This Row],[UnitPrice]]/Table1[[#This Row],[Quantity]]</f>
        <v>586.66666666666663</v>
      </c>
      <c r="R9" t="str">
        <f t="shared" si="0"/>
        <v>Monsoon</v>
      </c>
    </row>
    <row r="10" spans="1:18" x14ac:dyDescent="0.3">
      <c r="A10">
        <v>40008</v>
      </c>
      <c r="B10" s="1">
        <v>45195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22</v>
      </c>
      <c r="I10" t="s">
        <v>23</v>
      </c>
      <c r="J10">
        <v>1</v>
      </c>
      <c r="K10">
        <v>670</v>
      </c>
      <c r="L10">
        <v>10</v>
      </c>
      <c r="M10">
        <v>603</v>
      </c>
      <c r="N10">
        <f>Table1[[#This Row],[SalesAmount]]*0.22</f>
        <v>132.66</v>
      </c>
      <c r="O10">
        <f>Table1[[#This Row],[SalesAmount]]-Table1[[#This Row],[profit]]</f>
        <v>470.34000000000003</v>
      </c>
      <c r="P10">
        <f>Table1[[#This Row],[UnitPrice]]*Table1[[#This Row],[Quantity]]</f>
        <v>670</v>
      </c>
      <c r="Q10">
        <f>Table1[[#This Row],[UnitPrice]]/Table1[[#This Row],[Quantity]]</f>
        <v>670</v>
      </c>
      <c r="R10" t="str">
        <f t="shared" si="0"/>
        <v>Festive</v>
      </c>
    </row>
    <row r="11" spans="1:18" x14ac:dyDescent="0.3">
      <c r="A11">
        <v>40009</v>
      </c>
      <c r="B11" s="1">
        <v>44982</v>
      </c>
      <c r="C11" t="s">
        <v>13</v>
      </c>
      <c r="D11" t="s">
        <v>14</v>
      </c>
      <c r="E11" t="s">
        <v>24</v>
      </c>
      <c r="F11" t="s">
        <v>16</v>
      </c>
      <c r="G11" t="s">
        <v>25</v>
      </c>
      <c r="H11" t="s">
        <v>26</v>
      </c>
      <c r="I11" t="s">
        <v>27</v>
      </c>
      <c r="J11">
        <v>1</v>
      </c>
      <c r="K11">
        <v>1450</v>
      </c>
      <c r="L11">
        <v>20</v>
      </c>
      <c r="M11">
        <v>1160</v>
      </c>
      <c r="N11">
        <f>Table1[[#This Row],[SalesAmount]]*0.22</f>
        <v>255.2</v>
      </c>
      <c r="O11">
        <f>Table1[[#This Row],[SalesAmount]]-Table1[[#This Row],[profit]]</f>
        <v>904.8</v>
      </c>
      <c r="P11">
        <f>Table1[[#This Row],[UnitPrice]]*Table1[[#This Row],[Quantity]]</f>
        <v>1450</v>
      </c>
      <c r="Q11">
        <f>Table1[[#This Row],[UnitPrice]]/Table1[[#This Row],[Quantity]]</f>
        <v>1450</v>
      </c>
      <c r="R11" t="str">
        <f t="shared" si="0"/>
        <v>Winter</v>
      </c>
    </row>
    <row r="12" spans="1:18" x14ac:dyDescent="0.3">
      <c r="A12">
        <v>40010</v>
      </c>
      <c r="B12" s="1">
        <v>45007</v>
      </c>
      <c r="C12" t="s">
        <v>20</v>
      </c>
      <c r="D12" t="s">
        <v>21</v>
      </c>
      <c r="E12" t="s">
        <v>24</v>
      </c>
      <c r="F12" t="s">
        <v>16</v>
      </c>
      <c r="G12" t="s">
        <v>17</v>
      </c>
      <c r="H12" t="s">
        <v>30</v>
      </c>
      <c r="I12" t="s">
        <v>31</v>
      </c>
      <c r="J12">
        <v>4</v>
      </c>
      <c r="K12">
        <v>980</v>
      </c>
      <c r="L12">
        <v>15</v>
      </c>
      <c r="M12">
        <v>3332</v>
      </c>
      <c r="N12">
        <f>Table1[[#This Row],[SalesAmount]]*0.22</f>
        <v>733.04</v>
      </c>
      <c r="O12">
        <f>Table1[[#This Row],[SalesAmount]]-Table1[[#This Row],[profit]]</f>
        <v>2598.96</v>
      </c>
      <c r="P12">
        <f>Table1[[#This Row],[UnitPrice]]*Table1[[#This Row],[Quantity]]</f>
        <v>3920</v>
      </c>
      <c r="Q12">
        <f>Table1[[#This Row],[UnitPrice]]/Table1[[#This Row],[Quantity]]</f>
        <v>245</v>
      </c>
      <c r="R12" t="str">
        <f t="shared" si="0"/>
        <v>Summer</v>
      </c>
    </row>
    <row r="13" spans="1:18" x14ac:dyDescent="0.3">
      <c r="A13">
        <v>40011</v>
      </c>
      <c r="B13" s="1">
        <v>45086</v>
      </c>
      <c r="C13" t="s">
        <v>32</v>
      </c>
      <c r="D13" t="s">
        <v>33</v>
      </c>
      <c r="E13" t="s">
        <v>34</v>
      </c>
      <c r="F13" t="s">
        <v>16</v>
      </c>
      <c r="G13" t="s">
        <v>34</v>
      </c>
      <c r="H13" t="s">
        <v>35</v>
      </c>
      <c r="I13" t="s">
        <v>36</v>
      </c>
      <c r="J13">
        <v>4</v>
      </c>
      <c r="K13">
        <v>830</v>
      </c>
      <c r="L13">
        <v>10</v>
      </c>
      <c r="M13">
        <v>2988</v>
      </c>
      <c r="N13">
        <f>Table1[[#This Row],[SalesAmount]]*0.22</f>
        <v>657.36</v>
      </c>
      <c r="O13">
        <f>Table1[[#This Row],[SalesAmount]]-Table1[[#This Row],[profit]]</f>
        <v>2330.64</v>
      </c>
      <c r="P13">
        <f>Table1[[#This Row],[UnitPrice]]*Table1[[#This Row],[Quantity]]</f>
        <v>3320</v>
      </c>
      <c r="Q13">
        <f>Table1[[#This Row],[UnitPrice]]/Table1[[#This Row],[Quantity]]</f>
        <v>207.5</v>
      </c>
      <c r="R13" t="str">
        <f t="shared" si="0"/>
        <v>Monsoon</v>
      </c>
    </row>
    <row r="14" spans="1:18" x14ac:dyDescent="0.3">
      <c r="A14">
        <v>40012</v>
      </c>
      <c r="B14" s="1">
        <v>44951</v>
      </c>
      <c r="C14" t="s">
        <v>28</v>
      </c>
      <c r="D14" t="s">
        <v>29</v>
      </c>
      <c r="E14" t="s">
        <v>24</v>
      </c>
      <c r="F14" t="s">
        <v>16</v>
      </c>
      <c r="G14" t="s">
        <v>25</v>
      </c>
      <c r="H14" t="s">
        <v>26</v>
      </c>
      <c r="I14" t="s">
        <v>27</v>
      </c>
      <c r="J14">
        <v>2</v>
      </c>
      <c r="K14">
        <v>1850</v>
      </c>
      <c r="L14">
        <v>15</v>
      </c>
      <c r="M14">
        <v>3145</v>
      </c>
      <c r="N14">
        <f>Table1[[#This Row],[SalesAmount]]*0.22</f>
        <v>691.9</v>
      </c>
      <c r="O14">
        <f>Table1[[#This Row],[SalesAmount]]-Table1[[#This Row],[profit]]</f>
        <v>2453.1</v>
      </c>
      <c r="P14">
        <f>Table1[[#This Row],[UnitPrice]]*Table1[[#This Row],[Quantity]]</f>
        <v>3700</v>
      </c>
      <c r="Q14">
        <f>Table1[[#This Row],[UnitPrice]]/Table1[[#This Row],[Quantity]]</f>
        <v>925</v>
      </c>
      <c r="R14" t="str">
        <f t="shared" si="0"/>
        <v>Winter</v>
      </c>
    </row>
    <row r="15" spans="1:18" x14ac:dyDescent="0.3">
      <c r="A15">
        <v>40013</v>
      </c>
      <c r="B15" s="1">
        <v>45201</v>
      </c>
      <c r="C15" t="s">
        <v>32</v>
      </c>
      <c r="D15" t="s">
        <v>33</v>
      </c>
      <c r="E15" t="s">
        <v>24</v>
      </c>
      <c r="F15" t="s">
        <v>16</v>
      </c>
      <c r="G15" t="s">
        <v>25</v>
      </c>
      <c r="H15" t="s">
        <v>26</v>
      </c>
      <c r="I15" t="s">
        <v>27</v>
      </c>
      <c r="J15">
        <v>4</v>
      </c>
      <c r="K15">
        <v>1330</v>
      </c>
      <c r="L15">
        <v>15</v>
      </c>
      <c r="M15">
        <v>4512</v>
      </c>
      <c r="N15">
        <f>Table1[[#This Row],[SalesAmount]]*0.22</f>
        <v>992.64</v>
      </c>
      <c r="O15">
        <f>Table1[[#This Row],[SalesAmount]]-Table1[[#This Row],[profit]]</f>
        <v>3519.36</v>
      </c>
      <c r="P15">
        <f>Table1[[#This Row],[UnitPrice]]*Table1[[#This Row],[Quantity]]</f>
        <v>5320</v>
      </c>
      <c r="Q15">
        <f>Table1[[#This Row],[UnitPrice]]/Table1[[#This Row],[Quantity]]</f>
        <v>332.5</v>
      </c>
      <c r="R15" t="str">
        <f t="shared" si="0"/>
        <v>Festive</v>
      </c>
    </row>
    <row r="16" spans="1:18" x14ac:dyDescent="0.3">
      <c r="A16">
        <v>40014</v>
      </c>
      <c r="B16" s="1">
        <v>45155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>
        <v>4</v>
      </c>
      <c r="K16">
        <v>1760</v>
      </c>
      <c r="L16">
        <v>20</v>
      </c>
      <c r="M16">
        <v>5632</v>
      </c>
      <c r="N16">
        <f>Table1[[#This Row],[SalesAmount]]*0.22</f>
        <v>1239.04</v>
      </c>
      <c r="O16">
        <f>Table1[[#This Row],[SalesAmount]]-Table1[[#This Row],[profit]]</f>
        <v>4392.96</v>
      </c>
      <c r="P16">
        <f>Table1[[#This Row],[UnitPrice]]*Table1[[#This Row],[Quantity]]</f>
        <v>7040</v>
      </c>
      <c r="Q16">
        <f>Table1[[#This Row],[UnitPrice]]/Table1[[#This Row],[Quantity]]</f>
        <v>440</v>
      </c>
      <c r="R16" t="str">
        <f t="shared" si="0"/>
        <v>Festive</v>
      </c>
    </row>
    <row r="17" spans="1:18" x14ac:dyDescent="0.3">
      <c r="A17">
        <v>40015</v>
      </c>
      <c r="B17" s="1">
        <v>45283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22</v>
      </c>
      <c r="I17" t="s">
        <v>23</v>
      </c>
      <c r="J17">
        <v>1</v>
      </c>
      <c r="K17">
        <v>520</v>
      </c>
      <c r="L17">
        <v>10</v>
      </c>
      <c r="M17">
        <v>468</v>
      </c>
      <c r="N17">
        <f>Table1[[#This Row],[SalesAmount]]*0.22</f>
        <v>102.96</v>
      </c>
      <c r="O17">
        <f>Table1[[#This Row],[SalesAmount]]-Table1[[#This Row],[profit]]</f>
        <v>365.04</v>
      </c>
      <c r="P17">
        <f>Table1[[#This Row],[UnitPrice]]*Table1[[#This Row],[Quantity]]</f>
        <v>520</v>
      </c>
      <c r="Q17">
        <f>Table1[[#This Row],[UnitPrice]]/Table1[[#This Row],[Quantity]]</f>
        <v>520</v>
      </c>
      <c r="R17" t="str">
        <f t="shared" si="0"/>
        <v>Winter</v>
      </c>
    </row>
    <row r="18" spans="1:18" x14ac:dyDescent="0.3">
      <c r="A18">
        <v>40016</v>
      </c>
      <c r="B18" s="1">
        <v>45132</v>
      </c>
      <c r="C18" t="s">
        <v>13</v>
      </c>
      <c r="D18" t="s">
        <v>14</v>
      </c>
      <c r="E18" t="s">
        <v>24</v>
      </c>
      <c r="F18" t="s">
        <v>16</v>
      </c>
      <c r="G18" t="s">
        <v>25</v>
      </c>
      <c r="H18" t="s">
        <v>26</v>
      </c>
      <c r="I18" t="s">
        <v>27</v>
      </c>
      <c r="J18">
        <v>1</v>
      </c>
      <c r="K18">
        <v>1330</v>
      </c>
      <c r="L18">
        <v>10</v>
      </c>
      <c r="M18">
        <v>1197</v>
      </c>
      <c r="N18">
        <f>Table1[[#This Row],[SalesAmount]]*0.22</f>
        <v>263.33999999999997</v>
      </c>
      <c r="O18">
        <f>Table1[[#This Row],[SalesAmount]]-Table1[[#This Row],[profit]]</f>
        <v>933.66000000000008</v>
      </c>
      <c r="P18">
        <f>Table1[[#This Row],[UnitPrice]]*Table1[[#This Row],[Quantity]]</f>
        <v>1330</v>
      </c>
      <c r="Q18">
        <f>Table1[[#This Row],[UnitPrice]]/Table1[[#This Row],[Quantity]]</f>
        <v>1330</v>
      </c>
      <c r="R18" t="str">
        <f t="shared" si="0"/>
        <v>Monsoon</v>
      </c>
    </row>
    <row r="19" spans="1:18" x14ac:dyDescent="0.3">
      <c r="A19">
        <v>40017</v>
      </c>
      <c r="B19" s="1">
        <v>45014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>
        <v>4</v>
      </c>
      <c r="K19">
        <v>1180</v>
      </c>
      <c r="L19">
        <v>10</v>
      </c>
      <c r="M19">
        <v>4248</v>
      </c>
      <c r="N19">
        <f>Table1[[#This Row],[SalesAmount]]*0.22</f>
        <v>934.56000000000006</v>
      </c>
      <c r="O19">
        <f>Table1[[#This Row],[SalesAmount]]-Table1[[#This Row],[profit]]</f>
        <v>3313.44</v>
      </c>
      <c r="P19">
        <f>Table1[[#This Row],[UnitPrice]]*Table1[[#This Row],[Quantity]]</f>
        <v>4720</v>
      </c>
      <c r="Q19">
        <f>Table1[[#This Row],[UnitPrice]]/Table1[[#This Row],[Quantity]]</f>
        <v>295</v>
      </c>
      <c r="R19" t="str">
        <f t="shared" si="0"/>
        <v>Summer</v>
      </c>
    </row>
    <row r="20" spans="1:18" x14ac:dyDescent="0.3">
      <c r="A20">
        <v>40018</v>
      </c>
      <c r="B20" s="1">
        <v>45120</v>
      </c>
      <c r="C20" t="s">
        <v>13</v>
      </c>
      <c r="D20" t="s">
        <v>14</v>
      </c>
      <c r="E20" t="s">
        <v>24</v>
      </c>
      <c r="F20" t="s">
        <v>16</v>
      </c>
      <c r="G20" t="s">
        <v>17</v>
      </c>
      <c r="H20" t="s">
        <v>30</v>
      </c>
      <c r="I20" t="s">
        <v>31</v>
      </c>
      <c r="J20">
        <v>1</v>
      </c>
      <c r="K20">
        <v>950</v>
      </c>
      <c r="L20">
        <v>10</v>
      </c>
      <c r="M20">
        <v>855</v>
      </c>
      <c r="N20">
        <f>Table1[[#This Row],[SalesAmount]]*0.22</f>
        <v>188.1</v>
      </c>
      <c r="O20">
        <f>Table1[[#This Row],[SalesAmount]]-Table1[[#This Row],[profit]]</f>
        <v>666.9</v>
      </c>
      <c r="P20">
        <f>Table1[[#This Row],[UnitPrice]]*Table1[[#This Row],[Quantity]]</f>
        <v>950</v>
      </c>
      <c r="Q20">
        <f>Table1[[#This Row],[UnitPrice]]/Table1[[#This Row],[Quantity]]</f>
        <v>950</v>
      </c>
      <c r="R20" t="str">
        <f t="shared" si="0"/>
        <v>Monsoon</v>
      </c>
    </row>
    <row r="21" spans="1:18" x14ac:dyDescent="0.3">
      <c r="A21">
        <v>40019</v>
      </c>
      <c r="B21" s="1">
        <v>45038</v>
      </c>
      <c r="C21" t="s">
        <v>13</v>
      </c>
      <c r="D21" t="s">
        <v>14</v>
      </c>
      <c r="E21" t="s">
        <v>34</v>
      </c>
      <c r="F21" t="s">
        <v>16</v>
      </c>
      <c r="G21" t="s">
        <v>34</v>
      </c>
      <c r="H21" t="s">
        <v>35</v>
      </c>
      <c r="I21" t="s">
        <v>36</v>
      </c>
      <c r="J21">
        <v>2</v>
      </c>
      <c r="K21">
        <v>1050</v>
      </c>
      <c r="L21">
        <v>10</v>
      </c>
      <c r="M21">
        <v>1890</v>
      </c>
      <c r="N21">
        <f>Table1[[#This Row],[SalesAmount]]*0.22</f>
        <v>415.8</v>
      </c>
      <c r="O21">
        <f>Table1[[#This Row],[SalesAmount]]-Table1[[#This Row],[profit]]</f>
        <v>1474.2</v>
      </c>
      <c r="P21">
        <f>Table1[[#This Row],[UnitPrice]]*Table1[[#This Row],[Quantity]]</f>
        <v>2100</v>
      </c>
      <c r="Q21">
        <f>Table1[[#This Row],[UnitPrice]]/Table1[[#This Row],[Quantity]]</f>
        <v>525</v>
      </c>
      <c r="R21" t="str">
        <f t="shared" si="0"/>
        <v>Summer</v>
      </c>
    </row>
    <row r="22" spans="1:18" x14ac:dyDescent="0.3">
      <c r="A22">
        <v>40020</v>
      </c>
      <c r="B22" s="1">
        <v>45086</v>
      </c>
      <c r="C22" t="s">
        <v>32</v>
      </c>
      <c r="D22" t="s">
        <v>33</v>
      </c>
      <c r="E22" t="s">
        <v>24</v>
      </c>
      <c r="F22" t="s">
        <v>16</v>
      </c>
      <c r="G22" t="s">
        <v>17</v>
      </c>
      <c r="H22" t="s">
        <v>30</v>
      </c>
      <c r="I22" t="s">
        <v>31</v>
      </c>
      <c r="J22">
        <v>3</v>
      </c>
      <c r="K22">
        <v>1170</v>
      </c>
      <c r="L22">
        <v>5</v>
      </c>
      <c r="M22">
        <v>3331.5</v>
      </c>
      <c r="N22">
        <f>Table1[[#This Row],[SalesAmount]]*0.22</f>
        <v>732.93</v>
      </c>
      <c r="O22">
        <f>Table1[[#This Row],[SalesAmount]]-Table1[[#This Row],[profit]]</f>
        <v>2598.5700000000002</v>
      </c>
      <c r="P22">
        <f>Table1[[#This Row],[UnitPrice]]*Table1[[#This Row],[Quantity]]</f>
        <v>3510</v>
      </c>
      <c r="Q22">
        <f>Table1[[#This Row],[UnitPrice]]/Table1[[#This Row],[Quantity]]</f>
        <v>390</v>
      </c>
      <c r="R22" t="str">
        <f t="shared" si="0"/>
        <v>Monsoon</v>
      </c>
    </row>
    <row r="23" spans="1:18" x14ac:dyDescent="0.3">
      <c r="A23">
        <v>40021</v>
      </c>
      <c r="B23" s="1">
        <v>45181</v>
      </c>
      <c r="C23" t="s">
        <v>28</v>
      </c>
      <c r="D23" t="s">
        <v>29</v>
      </c>
      <c r="E23" t="s">
        <v>34</v>
      </c>
      <c r="F23" t="s">
        <v>16</v>
      </c>
      <c r="G23" t="s">
        <v>34</v>
      </c>
      <c r="H23" t="s">
        <v>35</v>
      </c>
      <c r="I23" t="s">
        <v>36</v>
      </c>
      <c r="J23">
        <v>2</v>
      </c>
      <c r="K23">
        <v>1030</v>
      </c>
      <c r="L23">
        <v>20</v>
      </c>
      <c r="M23">
        <v>1648</v>
      </c>
      <c r="N23">
        <f>Table1[[#This Row],[SalesAmount]]*0.22</f>
        <v>362.56</v>
      </c>
      <c r="O23">
        <f>Table1[[#This Row],[SalesAmount]]-Table1[[#This Row],[profit]]</f>
        <v>1285.44</v>
      </c>
      <c r="P23">
        <f>Table1[[#This Row],[UnitPrice]]*Table1[[#This Row],[Quantity]]</f>
        <v>2060</v>
      </c>
      <c r="Q23">
        <f>Table1[[#This Row],[UnitPrice]]/Table1[[#This Row],[Quantity]]</f>
        <v>515</v>
      </c>
      <c r="R23" t="str">
        <f t="shared" si="0"/>
        <v>Festive</v>
      </c>
    </row>
    <row r="24" spans="1:18" x14ac:dyDescent="0.3">
      <c r="A24">
        <v>40022</v>
      </c>
      <c r="B24" s="1">
        <v>45089</v>
      </c>
      <c r="C24" t="s">
        <v>28</v>
      </c>
      <c r="D24" t="s">
        <v>29</v>
      </c>
      <c r="E24" t="s">
        <v>24</v>
      </c>
      <c r="F24" t="s">
        <v>16</v>
      </c>
      <c r="G24" t="s">
        <v>25</v>
      </c>
      <c r="H24" t="s">
        <v>26</v>
      </c>
      <c r="I24" t="s">
        <v>27</v>
      </c>
      <c r="J24">
        <v>4</v>
      </c>
      <c r="K24">
        <v>1320</v>
      </c>
      <c r="L24">
        <v>0</v>
      </c>
      <c r="M24">
        <v>5280</v>
      </c>
      <c r="N24">
        <f>Table1[[#This Row],[SalesAmount]]*0.22</f>
        <v>1161.5999999999999</v>
      </c>
      <c r="O24">
        <f>Table1[[#This Row],[SalesAmount]]-Table1[[#This Row],[profit]]</f>
        <v>4118.3999999999996</v>
      </c>
      <c r="P24">
        <f>Table1[[#This Row],[UnitPrice]]*Table1[[#This Row],[Quantity]]</f>
        <v>5280</v>
      </c>
      <c r="Q24">
        <f>Table1[[#This Row],[UnitPrice]]/Table1[[#This Row],[Quantity]]</f>
        <v>330</v>
      </c>
      <c r="R24" t="str">
        <f t="shared" si="0"/>
        <v>Monsoon</v>
      </c>
    </row>
    <row r="25" spans="1:18" x14ac:dyDescent="0.3">
      <c r="A25">
        <v>40023</v>
      </c>
      <c r="B25" s="1">
        <v>44978</v>
      </c>
      <c r="C25" t="s">
        <v>13</v>
      </c>
      <c r="D25" t="s">
        <v>14</v>
      </c>
      <c r="E25" t="s">
        <v>24</v>
      </c>
      <c r="F25" t="s">
        <v>16</v>
      </c>
      <c r="G25" t="s">
        <v>17</v>
      </c>
      <c r="H25" t="s">
        <v>30</v>
      </c>
      <c r="I25" t="s">
        <v>31</v>
      </c>
      <c r="J25">
        <v>4</v>
      </c>
      <c r="K25">
        <v>1550</v>
      </c>
      <c r="L25">
        <v>10</v>
      </c>
      <c r="M25">
        <v>5580</v>
      </c>
      <c r="N25">
        <f>Table1[[#This Row],[SalesAmount]]*0.22</f>
        <v>1227.5999999999999</v>
      </c>
      <c r="O25">
        <f>Table1[[#This Row],[SalesAmount]]-Table1[[#This Row],[profit]]</f>
        <v>4352.3999999999996</v>
      </c>
      <c r="P25">
        <f>Table1[[#This Row],[UnitPrice]]*Table1[[#This Row],[Quantity]]</f>
        <v>6200</v>
      </c>
      <c r="Q25">
        <f>Table1[[#This Row],[UnitPrice]]/Table1[[#This Row],[Quantity]]</f>
        <v>387.5</v>
      </c>
      <c r="R25" t="str">
        <f t="shared" si="0"/>
        <v>Winter</v>
      </c>
    </row>
    <row r="26" spans="1:18" x14ac:dyDescent="0.3">
      <c r="A26">
        <v>40024</v>
      </c>
      <c r="B26" s="1">
        <v>44965</v>
      </c>
      <c r="C26" t="s">
        <v>28</v>
      </c>
      <c r="D26" t="s">
        <v>29</v>
      </c>
      <c r="E26" t="s">
        <v>24</v>
      </c>
      <c r="F26" t="s">
        <v>16</v>
      </c>
      <c r="G26" t="s">
        <v>17</v>
      </c>
      <c r="H26" t="s">
        <v>30</v>
      </c>
      <c r="I26" t="s">
        <v>31</v>
      </c>
      <c r="J26">
        <v>2</v>
      </c>
      <c r="K26">
        <v>1750</v>
      </c>
      <c r="L26">
        <v>10</v>
      </c>
      <c r="M26">
        <v>3150</v>
      </c>
      <c r="N26">
        <f>Table1[[#This Row],[SalesAmount]]*0.22</f>
        <v>693</v>
      </c>
      <c r="O26">
        <f>Table1[[#This Row],[SalesAmount]]-Table1[[#This Row],[profit]]</f>
        <v>2457</v>
      </c>
      <c r="P26">
        <f>Table1[[#This Row],[UnitPrice]]*Table1[[#This Row],[Quantity]]</f>
        <v>3500</v>
      </c>
      <c r="Q26">
        <f>Table1[[#This Row],[UnitPrice]]/Table1[[#This Row],[Quantity]]</f>
        <v>875</v>
      </c>
      <c r="R26" t="str">
        <f t="shared" si="0"/>
        <v>Winter</v>
      </c>
    </row>
    <row r="27" spans="1:18" x14ac:dyDescent="0.3">
      <c r="A27">
        <v>40025</v>
      </c>
      <c r="B27" s="1">
        <v>45256</v>
      </c>
      <c r="C27" t="s">
        <v>32</v>
      </c>
      <c r="D27" t="s">
        <v>33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>
        <v>1</v>
      </c>
      <c r="K27">
        <v>1810</v>
      </c>
      <c r="L27">
        <v>5</v>
      </c>
      <c r="M27">
        <v>1719.5</v>
      </c>
      <c r="N27">
        <f>Table1[[#This Row],[SalesAmount]]*0.22</f>
        <v>378.29</v>
      </c>
      <c r="O27">
        <f>Table1[[#This Row],[SalesAmount]]-Table1[[#This Row],[profit]]</f>
        <v>1341.21</v>
      </c>
      <c r="P27">
        <f>Table1[[#This Row],[UnitPrice]]*Table1[[#This Row],[Quantity]]</f>
        <v>1810</v>
      </c>
      <c r="Q27">
        <f>Table1[[#This Row],[UnitPrice]]/Table1[[#This Row],[Quantity]]</f>
        <v>1810</v>
      </c>
      <c r="R27" t="str">
        <f t="shared" si="0"/>
        <v>Festive</v>
      </c>
    </row>
    <row r="28" spans="1:18" x14ac:dyDescent="0.3">
      <c r="A28">
        <v>40026</v>
      </c>
      <c r="B28" s="1">
        <v>44979</v>
      </c>
      <c r="C28" t="s">
        <v>13</v>
      </c>
      <c r="D28" t="s">
        <v>14</v>
      </c>
      <c r="E28" t="s">
        <v>34</v>
      </c>
      <c r="F28" t="s">
        <v>16</v>
      </c>
      <c r="G28" t="s">
        <v>34</v>
      </c>
      <c r="H28" t="s">
        <v>35</v>
      </c>
      <c r="I28" t="s">
        <v>36</v>
      </c>
      <c r="J28">
        <v>4</v>
      </c>
      <c r="K28">
        <v>890</v>
      </c>
      <c r="L28">
        <v>0</v>
      </c>
      <c r="M28">
        <v>3560</v>
      </c>
      <c r="N28">
        <f>Table1[[#This Row],[SalesAmount]]*0.22</f>
        <v>783.2</v>
      </c>
      <c r="O28">
        <f>Table1[[#This Row],[SalesAmount]]-Table1[[#This Row],[profit]]</f>
        <v>2776.8</v>
      </c>
      <c r="P28">
        <f>Table1[[#This Row],[UnitPrice]]*Table1[[#This Row],[Quantity]]</f>
        <v>3560</v>
      </c>
      <c r="Q28">
        <f>Table1[[#This Row],[UnitPrice]]/Table1[[#This Row],[Quantity]]</f>
        <v>222.5</v>
      </c>
      <c r="R28" t="str">
        <f t="shared" si="0"/>
        <v>Winter</v>
      </c>
    </row>
    <row r="29" spans="1:18" x14ac:dyDescent="0.3">
      <c r="A29">
        <v>40027</v>
      </c>
      <c r="B29" s="1">
        <v>45078</v>
      </c>
      <c r="C29" t="s">
        <v>20</v>
      </c>
      <c r="D29" t="s">
        <v>21</v>
      </c>
      <c r="E29" t="s">
        <v>24</v>
      </c>
      <c r="F29" t="s">
        <v>16</v>
      </c>
      <c r="G29" t="s">
        <v>25</v>
      </c>
      <c r="H29" t="s">
        <v>26</v>
      </c>
      <c r="I29" t="s">
        <v>27</v>
      </c>
      <c r="J29">
        <v>3</v>
      </c>
      <c r="K29">
        <v>1110</v>
      </c>
      <c r="L29">
        <v>10</v>
      </c>
      <c r="M29">
        <v>2997</v>
      </c>
      <c r="N29">
        <f>Table1[[#This Row],[SalesAmount]]*0.22</f>
        <v>659.34</v>
      </c>
      <c r="O29">
        <f>Table1[[#This Row],[SalesAmount]]-Table1[[#This Row],[profit]]</f>
        <v>2337.66</v>
      </c>
      <c r="P29">
        <f>Table1[[#This Row],[UnitPrice]]*Table1[[#This Row],[Quantity]]</f>
        <v>3330</v>
      </c>
      <c r="Q29">
        <f>Table1[[#This Row],[UnitPrice]]/Table1[[#This Row],[Quantity]]</f>
        <v>370</v>
      </c>
      <c r="R29" t="str">
        <f t="shared" si="0"/>
        <v>Monsoon</v>
      </c>
    </row>
    <row r="30" spans="1:18" x14ac:dyDescent="0.3">
      <c r="A30">
        <v>40028</v>
      </c>
      <c r="B30" s="1">
        <v>44984</v>
      </c>
      <c r="C30" t="s">
        <v>13</v>
      </c>
      <c r="D30" t="s">
        <v>14</v>
      </c>
      <c r="E30" t="s">
        <v>24</v>
      </c>
      <c r="F30" t="s">
        <v>16</v>
      </c>
      <c r="G30" t="s">
        <v>17</v>
      </c>
      <c r="H30" t="s">
        <v>30</v>
      </c>
      <c r="I30" t="s">
        <v>31</v>
      </c>
      <c r="J30">
        <v>3</v>
      </c>
      <c r="K30">
        <v>1090</v>
      </c>
      <c r="L30">
        <v>10</v>
      </c>
      <c r="M30">
        <v>2943</v>
      </c>
      <c r="N30">
        <f>Table1[[#This Row],[SalesAmount]]*0.22</f>
        <v>647.46</v>
      </c>
      <c r="O30">
        <f>Table1[[#This Row],[SalesAmount]]-Table1[[#This Row],[profit]]</f>
        <v>2295.54</v>
      </c>
      <c r="P30">
        <f>Table1[[#This Row],[UnitPrice]]*Table1[[#This Row],[Quantity]]</f>
        <v>3270</v>
      </c>
      <c r="Q30">
        <f>Table1[[#This Row],[UnitPrice]]/Table1[[#This Row],[Quantity]]</f>
        <v>363.33333333333331</v>
      </c>
      <c r="R30" t="str">
        <f t="shared" si="0"/>
        <v>Winter</v>
      </c>
    </row>
    <row r="31" spans="1:18" x14ac:dyDescent="0.3">
      <c r="A31">
        <v>40029</v>
      </c>
      <c r="B31" s="1">
        <v>45164</v>
      </c>
      <c r="C31" t="s">
        <v>20</v>
      </c>
      <c r="D31" t="s">
        <v>21</v>
      </c>
      <c r="E31" t="s">
        <v>34</v>
      </c>
      <c r="F31" t="s">
        <v>16</v>
      </c>
      <c r="G31" t="s">
        <v>34</v>
      </c>
      <c r="H31" t="s">
        <v>35</v>
      </c>
      <c r="I31" t="s">
        <v>36</v>
      </c>
      <c r="J31">
        <v>4</v>
      </c>
      <c r="K31">
        <v>640</v>
      </c>
      <c r="L31">
        <v>15</v>
      </c>
      <c r="M31">
        <v>2176</v>
      </c>
      <c r="N31">
        <f>Table1[[#This Row],[SalesAmount]]*0.22</f>
        <v>478.72</v>
      </c>
      <c r="O31">
        <f>Table1[[#This Row],[SalesAmount]]-Table1[[#This Row],[profit]]</f>
        <v>1697.28</v>
      </c>
      <c r="P31">
        <f>Table1[[#This Row],[UnitPrice]]*Table1[[#This Row],[Quantity]]</f>
        <v>2560</v>
      </c>
      <c r="Q31">
        <f>Table1[[#This Row],[UnitPrice]]/Table1[[#This Row],[Quantity]]</f>
        <v>160</v>
      </c>
      <c r="R31" t="str">
        <f t="shared" si="0"/>
        <v>Festive</v>
      </c>
    </row>
    <row r="32" spans="1:18" x14ac:dyDescent="0.3">
      <c r="A32">
        <v>40030</v>
      </c>
      <c r="B32" s="1">
        <v>45185</v>
      </c>
      <c r="C32" t="s">
        <v>32</v>
      </c>
      <c r="D32" t="s">
        <v>33</v>
      </c>
      <c r="E32" t="s">
        <v>24</v>
      </c>
      <c r="F32" t="s">
        <v>16</v>
      </c>
      <c r="G32" t="s">
        <v>25</v>
      </c>
      <c r="H32" t="s">
        <v>26</v>
      </c>
      <c r="I32" t="s">
        <v>27</v>
      </c>
      <c r="J32">
        <v>1</v>
      </c>
      <c r="K32">
        <v>2060</v>
      </c>
      <c r="L32">
        <v>15</v>
      </c>
      <c r="M32">
        <v>1751</v>
      </c>
      <c r="N32">
        <f>Table1[[#This Row],[SalesAmount]]*0.22</f>
        <v>385.22</v>
      </c>
      <c r="O32">
        <f>Table1[[#This Row],[SalesAmount]]-Table1[[#This Row],[profit]]</f>
        <v>1365.78</v>
      </c>
      <c r="P32">
        <f>Table1[[#This Row],[UnitPrice]]*Table1[[#This Row],[Quantity]]</f>
        <v>2060</v>
      </c>
      <c r="Q32">
        <f>Table1[[#This Row],[UnitPrice]]/Table1[[#This Row],[Quantity]]</f>
        <v>2060</v>
      </c>
      <c r="R32" t="str">
        <f t="shared" si="0"/>
        <v>Festive</v>
      </c>
    </row>
    <row r="33" spans="1:18" x14ac:dyDescent="0.3">
      <c r="A33">
        <v>40031</v>
      </c>
      <c r="B33" s="1">
        <v>45030</v>
      </c>
      <c r="C33" t="s">
        <v>20</v>
      </c>
      <c r="D33" t="s">
        <v>21</v>
      </c>
      <c r="E33" t="s">
        <v>24</v>
      </c>
      <c r="F33" t="s">
        <v>16</v>
      </c>
      <c r="G33" t="s">
        <v>17</v>
      </c>
      <c r="H33" t="s">
        <v>30</v>
      </c>
      <c r="I33" t="s">
        <v>31</v>
      </c>
      <c r="J33">
        <v>2</v>
      </c>
      <c r="K33">
        <v>950</v>
      </c>
      <c r="L33">
        <v>5</v>
      </c>
      <c r="M33">
        <v>1805</v>
      </c>
      <c r="N33">
        <f>Table1[[#This Row],[SalesAmount]]*0.22</f>
        <v>397.1</v>
      </c>
      <c r="O33">
        <f>Table1[[#This Row],[SalesAmount]]-Table1[[#This Row],[profit]]</f>
        <v>1407.9</v>
      </c>
      <c r="P33">
        <f>Table1[[#This Row],[UnitPrice]]*Table1[[#This Row],[Quantity]]</f>
        <v>1900</v>
      </c>
      <c r="Q33">
        <f>Table1[[#This Row],[UnitPrice]]/Table1[[#This Row],[Quantity]]</f>
        <v>475</v>
      </c>
      <c r="R33" t="str">
        <f t="shared" si="0"/>
        <v>Summer</v>
      </c>
    </row>
    <row r="34" spans="1:18" x14ac:dyDescent="0.3">
      <c r="A34">
        <v>40032</v>
      </c>
      <c r="B34" s="1">
        <v>45065</v>
      </c>
      <c r="C34" t="s">
        <v>28</v>
      </c>
      <c r="D34" t="s">
        <v>29</v>
      </c>
      <c r="E34" t="s">
        <v>15</v>
      </c>
      <c r="F34" t="s">
        <v>16</v>
      </c>
      <c r="G34" t="s">
        <v>17</v>
      </c>
      <c r="H34" t="s">
        <v>22</v>
      </c>
      <c r="I34" t="s">
        <v>23</v>
      </c>
      <c r="J34">
        <v>2</v>
      </c>
      <c r="K34">
        <v>410</v>
      </c>
      <c r="L34">
        <v>0</v>
      </c>
      <c r="M34">
        <v>820</v>
      </c>
      <c r="N34">
        <f>Table1[[#This Row],[SalesAmount]]*0.22</f>
        <v>180.4</v>
      </c>
      <c r="O34">
        <f>Table1[[#This Row],[SalesAmount]]-Table1[[#This Row],[profit]]</f>
        <v>639.6</v>
      </c>
      <c r="P34">
        <f>Table1[[#This Row],[UnitPrice]]*Table1[[#This Row],[Quantity]]</f>
        <v>820</v>
      </c>
      <c r="Q34">
        <f>Table1[[#This Row],[UnitPrice]]/Table1[[#This Row],[Quantity]]</f>
        <v>205</v>
      </c>
      <c r="R34" t="str">
        <f t="shared" ref="R34:R52" si="1">IF(OR(MONTH(B34)=12,MONTH(B34)=1,MONTH(B34)=2),"Winter",
IF(OR(MONTH(B34)=3,MONTH(B34)=4,MONTH(B34)=5),"Summer",
IF(OR(MONTH(B34)=6,MONTH(B34)=7),"Monsoon","Festive")))</f>
        <v>Summer</v>
      </c>
    </row>
    <row r="35" spans="1:18" x14ac:dyDescent="0.3">
      <c r="A35">
        <v>40033</v>
      </c>
      <c r="B35" s="1">
        <v>44985</v>
      </c>
      <c r="C35" t="s">
        <v>13</v>
      </c>
      <c r="D35" t="s">
        <v>14</v>
      </c>
      <c r="E35" t="s">
        <v>34</v>
      </c>
      <c r="F35" t="s">
        <v>16</v>
      </c>
      <c r="G35" t="s">
        <v>34</v>
      </c>
      <c r="H35" t="s">
        <v>35</v>
      </c>
      <c r="I35" t="s">
        <v>36</v>
      </c>
      <c r="J35">
        <v>2</v>
      </c>
      <c r="K35">
        <v>640</v>
      </c>
      <c r="L35">
        <v>15</v>
      </c>
      <c r="M35">
        <v>1088</v>
      </c>
      <c r="N35">
        <f>Table1[[#This Row],[SalesAmount]]*0.22</f>
        <v>239.36</v>
      </c>
      <c r="O35">
        <f>Table1[[#This Row],[SalesAmount]]-Table1[[#This Row],[profit]]</f>
        <v>848.64</v>
      </c>
      <c r="P35">
        <f>Table1[[#This Row],[UnitPrice]]*Table1[[#This Row],[Quantity]]</f>
        <v>1280</v>
      </c>
      <c r="Q35">
        <f>Table1[[#This Row],[UnitPrice]]/Table1[[#This Row],[Quantity]]</f>
        <v>320</v>
      </c>
      <c r="R35" t="str">
        <f t="shared" si="1"/>
        <v>Winter</v>
      </c>
    </row>
    <row r="36" spans="1:18" x14ac:dyDescent="0.3">
      <c r="A36">
        <v>40034</v>
      </c>
      <c r="B36" s="1">
        <v>45197</v>
      </c>
      <c r="C36" t="s">
        <v>32</v>
      </c>
      <c r="D36" t="s">
        <v>33</v>
      </c>
      <c r="E36" t="s">
        <v>15</v>
      </c>
      <c r="F36" t="s">
        <v>16</v>
      </c>
      <c r="G36" t="s">
        <v>17</v>
      </c>
      <c r="H36" t="s">
        <v>22</v>
      </c>
      <c r="I36" t="s">
        <v>23</v>
      </c>
      <c r="J36">
        <v>4</v>
      </c>
      <c r="K36">
        <v>690</v>
      </c>
      <c r="L36">
        <v>10</v>
      </c>
      <c r="M36">
        <v>2484</v>
      </c>
      <c r="N36">
        <f>Table1[[#This Row],[SalesAmount]]*0.22</f>
        <v>546.48</v>
      </c>
      <c r="O36">
        <f>Table1[[#This Row],[SalesAmount]]-Table1[[#This Row],[profit]]</f>
        <v>1937.52</v>
      </c>
      <c r="P36">
        <f>Table1[[#This Row],[UnitPrice]]*Table1[[#This Row],[Quantity]]</f>
        <v>2760</v>
      </c>
      <c r="Q36">
        <f>Table1[[#This Row],[UnitPrice]]/Table1[[#This Row],[Quantity]]</f>
        <v>172.5</v>
      </c>
      <c r="R36" t="str">
        <f t="shared" si="1"/>
        <v>Festive</v>
      </c>
    </row>
    <row r="37" spans="1:18" x14ac:dyDescent="0.3">
      <c r="A37">
        <v>40035</v>
      </c>
      <c r="B37" s="1">
        <v>45106</v>
      </c>
      <c r="C37" t="s">
        <v>13</v>
      </c>
      <c r="D37" t="s">
        <v>14</v>
      </c>
      <c r="E37" t="s">
        <v>24</v>
      </c>
      <c r="F37" t="s">
        <v>16</v>
      </c>
      <c r="G37" t="s">
        <v>17</v>
      </c>
      <c r="H37" t="s">
        <v>30</v>
      </c>
      <c r="I37" t="s">
        <v>31</v>
      </c>
      <c r="J37">
        <v>4</v>
      </c>
      <c r="K37">
        <v>1260</v>
      </c>
      <c r="L37">
        <v>20</v>
      </c>
      <c r="M37">
        <v>4032</v>
      </c>
      <c r="N37">
        <f>Table1[[#This Row],[SalesAmount]]*0.22</f>
        <v>887.04</v>
      </c>
      <c r="O37">
        <f>Table1[[#This Row],[SalesAmount]]-Table1[[#This Row],[profit]]</f>
        <v>3144.96</v>
      </c>
      <c r="P37">
        <f>Table1[[#This Row],[UnitPrice]]*Table1[[#This Row],[Quantity]]</f>
        <v>5040</v>
      </c>
      <c r="Q37">
        <f>Table1[[#This Row],[UnitPrice]]/Table1[[#This Row],[Quantity]]</f>
        <v>315</v>
      </c>
      <c r="R37" t="str">
        <f t="shared" si="1"/>
        <v>Monsoon</v>
      </c>
    </row>
    <row r="38" spans="1:18" x14ac:dyDescent="0.3">
      <c r="A38">
        <v>40036</v>
      </c>
      <c r="B38" s="1">
        <v>45211</v>
      </c>
      <c r="C38" t="s">
        <v>28</v>
      </c>
      <c r="D38" t="s">
        <v>29</v>
      </c>
      <c r="E38" t="s">
        <v>24</v>
      </c>
      <c r="F38" t="s">
        <v>16</v>
      </c>
      <c r="G38" t="s">
        <v>25</v>
      </c>
      <c r="H38" t="s">
        <v>26</v>
      </c>
      <c r="I38" t="s">
        <v>27</v>
      </c>
      <c r="J38">
        <v>1</v>
      </c>
      <c r="K38">
        <v>2320</v>
      </c>
      <c r="L38">
        <v>10</v>
      </c>
      <c r="M38">
        <v>2088</v>
      </c>
      <c r="N38">
        <f>Table1[[#This Row],[SalesAmount]]*0.22</f>
        <v>459.36</v>
      </c>
      <c r="O38">
        <f>Table1[[#This Row],[SalesAmount]]-Table1[[#This Row],[profit]]</f>
        <v>1628.6399999999999</v>
      </c>
      <c r="P38">
        <f>Table1[[#This Row],[UnitPrice]]*Table1[[#This Row],[Quantity]]</f>
        <v>2320</v>
      </c>
      <c r="Q38">
        <f>Table1[[#This Row],[UnitPrice]]/Table1[[#This Row],[Quantity]]</f>
        <v>2320</v>
      </c>
      <c r="R38" t="str">
        <f t="shared" si="1"/>
        <v>Festive</v>
      </c>
    </row>
    <row r="39" spans="1:18" x14ac:dyDescent="0.3">
      <c r="A39">
        <v>40037</v>
      </c>
      <c r="B39" s="1">
        <v>45250</v>
      </c>
      <c r="C39" t="s">
        <v>20</v>
      </c>
      <c r="D39" t="s">
        <v>21</v>
      </c>
      <c r="E39" t="s">
        <v>34</v>
      </c>
      <c r="F39" t="s">
        <v>16</v>
      </c>
      <c r="G39" t="s">
        <v>34</v>
      </c>
      <c r="H39" t="s">
        <v>35</v>
      </c>
      <c r="I39" t="s">
        <v>36</v>
      </c>
      <c r="J39">
        <v>1</v>
      </c>
      <c r="K39">
        <v>1090</v>
      </c>
      <c r="L39">
        <v>15</v>
      </c>
      <c r="M39">
        <v>926.5</v>
      </c>
      <c r="N39">
        <f>Table1[[#This Row],[SalesAmount]]*0.22</f>
        <v>203.83</v>
      </c>
      <c r="O39">
        <f>Table1[[#This Row],[SalesAmount]]-Table1[[#This Row],[profit]]</f>
        <v>722.67</v>
      </c>
      <c r="P39">
        <f>Table1[[#This Row],[UnitPrice]]*Table1[[#This Row],[Quantity]]</f>
        <v>1090</v>
      </c>
      <c r="Q39">
        <f>Table1[[#This Row],[UnitPrice]]/Table1[[#This Row],[Quantity]]</f>
        <v>1090</v>
      </c>
      <c r="R39" t="str">
        <f t="shared" si="1"/>
        <v>Festive</v>
      </c>
    </row>
    <row r="40" spans="1:18" x14ac:dyDescent="0.3">
      <c r="A40">
        <v>40038</v>
      </c>
      <c r="B40" s="1">
        <v>45073</v>
      </c>
      <c r="C40" t="s">
        <v>32</v>
      </c>
      <c r="D40" t="s">
        <v>33</v>
      </c>
      <c r="E40" t="s">
        <v>24</v>
      </c>
      <c r="F40" t="s">
        <v>16</v>
      </c>
      <c r="G40" t="s">
        <v>25</v>
      </c>
      <c r="H40" t="s">
        <v>26</v>
      </c>
      <c r="I40" t="s">
        <v>27</v>
      </c>
      <c r="J40">
        <v>2</v>
      </c>
      <c r="K40">
        <v>1930</v>
      </c>
      <c r="L40">
        <v>10</v>
      </c>
      <c r="M40">
        <v>3474</v>
      </c>
      <c r="N40">
        <f>Table1[[#This Row],[SalesAmount]]*0.22</f>
        <v>764.28</v>
      </c>
      <c r="O40">
        <f>Table1[[#This Row],[SalesAmount]]-Table1[[#This Row],[profit]]</f>
        <v>2709.7200000000003</v>
      </c>
      <c r="P40">
        <f>Table1[[#This Row],[UnitPrice]]*Table1[[#This Row],[Quantity]]</f>
        <v>3860</v>
      </c>
      <c r="Q40">
        <f>Table1[[#This Row],[UnitPrice]]/Table1[[#This Row],[Quantity]]</f>
        <v>965</v>
      </c>
      <c r="R40" t="str">
        <f t="shared" si="1"/>
        <v>Summer</v>
      </c>
    </row>
    <row r="41" spans="1:18" x14ac:dyDescent="0.3">
      <c r="A41">
        <v>40039</v>
      </c>
      <c r="B41" s="1">
        <v>44998</v>
      </c>
      <c r="C41" t="s">
        <v>20</v>
      </c>
      <c r="D41" t="s">
        <v>21</v>
      </c>
      <c r="E41" t="s">
        <v>24</v>
      </c>
      <c r="F41" t="s">
        <v>16</v>
      </c>
      <c r="G41" t="s">
        <v>17</v>
      </c>
      <c r="H41" t="s">
        <v>30</v>
      </c>
      <c r="I41" t="s">
        <v>31</v>
      </c>
      <c r="J41">
        <v>1</v>
      </c>
      <c r="K41">
        <v>980</v>
      </c>
      <c r="L41">
        <v>5</v>
      </c>
      <c r="M41">
        <v>931</v>
      </c>
      <c r="N41">
        <f>Table1[[#This Row],[SalesAmount]]*0.22</f>
        <v>204.82</v>
      </c>
      <c r="O41">
        <f>Table1[[#This Row],[SalesAmount]]-Table1[[#This Row],[profit]]</f>
        <v>726.18000000000006</v>
      </c>
      <c r="P41">
        <f>Table1[[#This Row],[UnitPrice]]*Table1[[#This Row],[Quantity]]</f>
        <v>980</v>
      </c>
      <c r="Q41">
        <f>Table1[[#This Row],[UnitPrice]]/Table1[[#This Row],[Quantity]]</f>
        <v>980</v>
      </c>
      <c r="R41" t="str">
        <f t="shared" si="1"/>
        <v>Summer</v>
      </c>
    </row>
    <row r="42" spans="1:18" x14ac:dyDescent="0.3">
      <c r="A42">
        <v>40040</v>
      </c>
      <c r="B42" s="1">
        <v>45209</v>
      </c>
      <c r="C42" t="s">
        <v>20</v>
      </c>
      <c r="D42" t="s">
        <v>21</v>
      </c>
      <c r="E42" t="s">
        <v>24</v>
      </c>
      <c r="F42" t="s">
        <v>16</v>
      </c>
      <c r="G42" t="s">
        <v>25</v>
      </c>
      <c r="H42" t="s">
        <v>26</v>
      </c>
      <c r="I42" t="s">
        <v>27</v>
      </c>
      <c r="J42">
        <v>3</v>
      </c>
      <c r="K42">
        <v>2110</v>
      </c>
      <c r="L42">
        <v>10</v>
      </c>
      <c r="M42">
        <v>5697</v>
      </c>
      <c r="N42">
        <f>Table1[[#This Row],[SalesAmount]]*0.22</f>
        <v>1253.3399999999999</v>
      </c>
      <c r="O42">
        <f>Table1[[#This Row],[SalesAmount]]-Table1[[#This Row],[profit]]</f>
        <v>4443.66</v>
      </c>
      <c r="P42">
        <f>Table1[[#This Row],[UnitPrice]]*Table1[[#This Row],[Quantity]]</f>
        <v>6330</v>
      </c>
      <c r="Q42">
        <f>Table1[[#This Row],[UnitPrice]]/Table1[[#This Row],[Quantity]]</f>
        <v>703.33333333333337</v>
      </c>
      <c r="R42" t="str">
        <f t="shared" si="1"/>
        <v>Festive</v>
      </c>
    </row>
    <row r="43" spans="1:18" x14ac:dyDescent="0.3">
      <c r="A43">
        <v>40041</v>
      </c>
      <c r="B43" s="1">
        <v>45230</v>
      </c>
      <c r="C43" t="s">
        <v>28</v>
      </c>
      <c r="D43" t="s">
        <v>29</v>
      </c>
      <c r="E43" t="s">
        <v>34</v>
      </c>
      <c r="F43" t="s">
        <v>16</v>
      </c>
      <c r="G43" t="s">
        <v>34</v>
      </c>
      <c r="H43" t="s">
        <v>35</v>
      </c>
      <c r="I43" t="s">
        <v>36</v>
      </c>
      <c r="J43">
        <v>4</v>
      </c>
      <c r="K43">
        <v>750</v>
      </c>
      <c r="L43">
        <v>0</v>
      </c>
      <c r="M43">
        <v>3000</v>
      </c>
      <c r="N43">
        <f>Table1[[#This Row],[SalesAmount]]*0.22</f>
        <v>660</v>
      </c>
      <c r="O43">
        <f>Table1[[#This Row],[SalesAmount]]-Table1[[#This Row],[profit]]</f>
        <v>2340</v>
      </c>
      <c r="P43">
        <f>Table1[[#This Row],[UnitPrice]]*Table1[[#This Row],[Quantity]]</f>
        <v>3000</v>
      </c>
      <c r="Q43">
        <f>Table1[[#This Row],[UnitPrice]]/Table1[[#This Row],[Quantity]]</f>
        <v>187.5</v>
      </c>
      <c r="R43" t="str">
        <f t="shared" si="1"/>
        <v>Festive</v>
      </c>
    </row>
    <row r="44" spans="1:18" x14ac:dyDescent="0.3">
      <c r="A44">
        <v>40042</v>
      </c>
      <c r="B44" s="1">
        <v>45170</v>
      </c>
      <c r="C44" t="s">
        <v>32</v>
      </c>
      <c r="D44" t="s">
        <v>33</v>
      </c>
      <c r="E44" t="s">
        <v>34</v>
      </c>
      <c r="F44" t="s">
        <v>16</v>
      </c>
      <c r="G44" t="s">
        <v>34</v>
      </c>
      <c r="H44" t="s">
        <v>35</v>
      </c>
      <c r="I44" t="s">
        <v>36</v>
      </c>
      <c r="J44">
        <v>3</v>
      </c>
      <c r="K44">
        <v>1230</v>
      </c>
      <c r="L44">
        <v>10</v>
      </c>
      <c r="M44">
        <v>3321</v>
      </c>
      <c r="N44">
        <f>Table1[[#This Row],[SalesAmount]]*0.22</f>
        <v>730.62</v>
      </c>
      <c r="O44">
        <f>Table1[[#This Row],[SalesAmount]]-Table1[[#This Row],[profit]]</f>
        <v>2590.38</v>
      </c>
      <c r="P44">
        <f>Table1[[#This Row],[UnitPrice]]*Table1[[#This Row],[Quantity]]</f>
        <v>3690</v>
      </c>
      <c r="Q44">
        <f>Table1[[#This Row],[UnitPrice]]/Table1[[#This Row],[Quantity]]</f>
        <v>410</v>
      </c>
      <c r="R44" t="str">
        <f t="shared" si="1"/>
        <v>Festive</v>
      </c>
    </row>
    <row r="45" spans="1:18" x14ac:dyDescent="0.3">
      <c r="A45">
        <v>40043</v>
      </c>
      <c r="B45" s="1">
        <v>45177</v>
      </c>
      <c r="C45" t="s">
        <v>28</v>
      </c>
      <c r="D45" t="s">
        <v>29</v>
      </c>
      <c r="E45" t="s">
        <v>24</v>
      </c>
      <c r="F45" t="s">
        <v>16</v>
      </c>
      <c r="G45" t="s">
        <v>25</v>
      </c>
      <c r="H45" t="s">
        <v>26</v>
      </c>
      <c r="I45" t="s">
        <v>27</v>
      </c>
      <c r="J45">
        <v>3</v>
      </c>
      <c r="K45">
        <v>2380</v>
      </c>
      <c r="L45">
        <v>20</v>
      </c>
      <c r="M45">
        <v>5712</v>
      </c>
      <c r="N45">
        <f>Table1[[#This Row],[SalesAmount]]*0.22</f>
        <v>1256.6400000000001</v>
      </c>
      <c r="O45">
        <f>Table1[[#This Row],[SalesAmount]]-Table1[[#This Row],[profit]]</f>
        <v>4455.3599999999997</v>
      </c>
      <c r="P45">
        <f>Table1[[#This Row],[UnitPrice]]*Table1[[#This Row],[Quantity]]</f>
        <v>7140</v>
      </c>
      <c r="Q45">
        <f>Table1[[#This Row],[UnitPrice]]/Table1[[#This Row],[Quantity]]</f>
        <v>793.33333333333337</v>
      </c>
      <c r="R45" t="str">
        <f t="shared" si="1"/>
        <v>Festive</v>
      </c>
    </row>
    <row r="46" spans="1:18" x14ac:dyDescent="0.3">
      <c r="A46">
        <v>40044</v>
      </c>
      <c r="B46" s="1">
        <v>45076</v>
      </c>
      <c r="C46" t="s">
        <v>32</v>
      </c>
      <c r="D46" t="s">
        <v>33</v>
      </c>
      <c r="E46" t="s">
        <v>15</v>
      </c>
      <c r="F46" t="s">
        <v>16</v>
      </c>
      <c r="G46" t="s">
        <v>17</v>
      </c>
      <c r="H46" t="s">
        <v>22</v>
      </c>
      <c r="I46" t="s">
        <v>23</v>
      </c>
      <c r="J46">
        <v>4</v>
      </c>
      <c r="K46">
        <v>640</v>
      </c>
      <c r="L46">
        <v>10</v>
      </c>
      <c r="M46">
        <v>2304</v>
      </c>
      <c r="N46">
        <f>Table1[[#This Row],[SalesAmount]]*0.22</f>
        <v>506.88</v>
      </c>
      <c r="O46">
        <f>Table1[[#This Row],[SalesAmount]]-Table1[[#This Row],[profit]]</f>
        <v>1797.12</v>
      </c>
      <c r="P46">
        <f>Table1[[#This Row],[UnitPrice]]*Table1[[#This Row],[Quantity]]</f>
        <v>2560</v>
      </c>
      <c r="Q46">
        <f>Table1[[#This Row],[UnitPrice]]/Table1[[#This Row],[Quantity]]</f>
        <v>160</v>
      </c>
      <c r="R46" t="str">
        <f t="shared" si="1"/>
        <v>Summer</v>
      </c>
    </row>
    <row r="47" spans="1:18" x14ac:dyDescent="0.3">
      <c r="A47">
        <v>40045</v>
      </c>
      <c r="B47" s="1">
        <v>45285</v>
      </c>
      <c r="C47" t="s">
        <v>13</v>
      </c>
      <c r="D47" t="s">
        <v>14</v>
      </c>
      <c r="E47" t="s">
        <v>24</v>
      </c>
      <c r="F47" t="s">
        <v>16</v>
      </c>
      <c r="G47" t="s">
        <v>25</v>
      </c>
      <c r="H47" t="s">
        <v>26</v>
      </c>
      <c r="I47" t="s">
        <v>27</v>
      </c>
      <c r="J47">
        <v>1</v>
      </c>
      <c r="K47">
        <v>1470</v>
      </c>
      <c r="L47">
        <v>10</v>
      </c>
      <c r="M47">
        <v>1323</v>
      </c>
      <c r="N47">
        <f>Table1[[#This Row],[SalesAmount]]*0.22</f>
        <v>291.06</v>
      </c>
      <c r="O47">
        <f>Table1[[#This Row],[SalesAmount]]-Table1[[#This Row],[profit]]</f>
        <v>1031.94</v>
      </c>
      <c r="P47">
        <f>Table1[[#This Row],[UnitPrice]]*Table1[[#This Row],[Quantity]]</f>
        <v>1470</v>
      </c>
      <c r="Q47">
        <f>Table1[[#This Row],[UnitPrice]]/Table1[[#This Row],[Quantity]]</f>
        <v>1470</v>
      </c>
      <c r="R47" t="str">
        <f t="shared" si="1"/>
        <v>Winter</v>
      </c>
    </row>
    <row r="48" spans="1:18" x14ac:dyDescent="0.3">
      <c r="A48">
        <v>40046</v>
      </c>
      <c r="B48" s="1">
        <v>45010</v>
      </c>
      <c r="C48" t="s">
        <v>28</v>
      </c>
      <c r="D48" t="s">
        <v>29</v>
      </c>
      <c r="E48" t="s">
        <v>24</v>
      </c>
      <c r="F48" t="s">
        <v>16</v>
      </c>
      <c r="G48" t="s">
        <v>25</v>
      </c>
      <c r="H48" t="s">
        <v>26</v>
      </c>
      <c r="I48" t="s">
        <v>27</v>
      </c>
      <c r="J48">
        <v>4</v>
      </c>
      <c r="K48">
        <v>1850</v>
      </c>
      <c r="L48">
        <v>10</v>
      </c>
      <c r="M48">
        <v>6660</v>
      </c>
      <c r="N48">
        <f>Table1[[#This Row],[SalesAmount]]*0.22</f>
        <v>1465.2</v>
      </c>
      <c r="O48">
        <f>Table1[[#This Row],[SalesAmount]]-Table1[[#This Row],[profit]]</f>
        <v>5194.8</v>
      </c>
      <c r="P48">
        <f>Table1[[#This Row],[UnitPrice]]*Table1[[#This Row],[Quantity]]</f>
        <v>7400</v>
      </c>
      <c r="Q48">
        <f>Table1[[#This Row],[UnitPrice]]/Table1[[#This Row],[Quantity]]</f>
        <v>462.5</v>
      </c>
      <c r="R48" t="str">
        <f t="shared" si="1"/>
        <v>Summer</v>
      </c>
    </row>
    <row r="49" spans="1:18" x14ac:dyDescent="0.3">
      <c r="A49">
        <v>40047</v>
      </c>
      <c r="B49" s="1">
        <v>45116</v>
      </c>
      <c r="C49" t="s">
        <v>13</v>
      </c>
      <c r="D49" t="s">
        <v>14</v>
      </c>
      <c r="E49" t="s">
        <v>34</v>
      </c>
      <c r="F49" t="s">
        <v>16</v>
      </c>
      <c r="G49" t="s">
        <v>34</v>
      </c>
      <c r="H49" t="s">
        <v>35</v>
      </c>
      <c r="I49" t="s">
        <v>36</v>
      </c>
      <c r="J49">
        <v>4</v>
      </c>
      <c r="K49">
        <v>670</v>
      </c>
      <c r="L49">
        <v>15</v>
      </c>
      <c r="M49">
        <v>2278</v>
      </c>
      <c r="N49">
        <f>Table1[[#This Row],[SalesAmount]]*0.22</f>
        <v>501.16</v>
      </c>
      <c r="O49">
        <f>Table1[[#This Row],[SalesAmount]]-Table1[[#This Row],[profit]]</f>
        <v>1776.84</v>
      </c>
      <c r="P49">
        <f>Table1[[#This Row],[UnitPrice]]*Table1[[#This Row],[Quantity]]</f>
        <v>2680</v>
      </c>
      <c r="Q49">
        <f>Table1[[#This Row],[UnitPrice]]/Table1[[#This Row],[Quantity]]</f>
        <v>167.5</v>
      </c>
      <c r="R49" t="str">
        <f t="shared" si="1"/>
        <v>Monsoon</v>
      </c>
    </row>
    <row r="50" spans="1:18" x14ac:dyDescent="0.3">
      <c r="A50">
        <v>40048</v>
      </c>
      <c r="B50" s="1">
        <v>45251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>
        <v>4</v>
      </c>
      <c r="K50">
        <v>1560</v>
      </c>
      <c r="L50">
        <v>5</v>
      </c>
      <c r="M50">
        <v>5928</v>
      </c>
      <c r="N50">
        <f>Table1[[#This Row],[SalesAmount]]*0.22</f>
        <v>1304.1600000000001</v>
      </c>
      <c r="O50">
        <f>Table1[[#This Row],[SalesAmount]]-Table1[[#This Row],[profit]]</f>
        <v>4623.84</v>
      </c>
      <c r="P50">
        <f>Table1[[#This Row],[UnitPrice]]*Table1[[#This Row],[Quantity]]</f>
        <v>6240</v>
      </c>
      <c r="Q50">
        <f>Table1[[#This Row],[UnitPrice]]/Table1[[#This Row],[Quantity]]</f>
        <v>390</v>
      </c>
      <c r="R50" t="str">
        <f t="shared" si="1"/>
        <v>Festive</v>
      </c>
    </row>
    <row r="51" spans="1:18" x14ac:dyDescent="0.3">
      <c r="A51">
        <v>40049</v>
      </c>
      <c r="B51" s="1">
        <v>45208</v>
      </c>
      <c r="C51" t="s">
        <v>13</v>
      </c>
      <c r="D51" t="s">
        <v>14</v>
      </c>
      <c r="E51" t="s">
        <v>24</v>
      </c>
      <c r="F51" t="s">
        <v>16</v>
      </c>
      <c r="G51" t="s">
        <v>17</v>
      </c>
      <c r="H51" t="s">
        <v>30</v>
      </c>
      <c r="I51" t="s">
        <v>31</v>
      </c>
      <c r="J51">
        <v>4</v>
      </c>
      <c r="K51">
        <v>1120</v>
      </c>
      <c r="L51">
        <v>10</v>
      </c>
      <c r="M51">
        <v>4032</v>
      </c>
      <c r="N51">
        <f>Table1[[#This Row],[SalesAmount]]*0.22</f>
        <v>887.04</v>
      </c>
      <c r="O51">
        <f>Table1[[#This Row],[SalesAmount]]-Table1[[#This Row],[profit]]</f>
        <v>3144.96</v>
      </c>
      <c r="P51">
        <f>Table1[[#This Row],[UnitPrice]]*Table1[[#This Row],[Quantity]]</f>
        <v>4480</v>
      </c>
      <c r="Q51">
        <f>Table1[[#This Row],[UnitPrice]]/Table1[[#This Row],[Quantity]]</f>
        <v>280</v>
      </c>
      <c r="R51" t="str">
        <f t="shared" si="1"/>
        <v>Festive</v>
      </c>
    </row>
    <row r="52" spans="1:18" x14ac:dyDescent="0.3">
      <c r="A52">
        <v>40050</v>
      </c>
      <c r="B52" s="1">
        <v>44941</v>
      </c>
      <c r="C52" t="s">
        <v>32</v>
      </c>
      <c r="D52" t="s">
        <v>33</v>
      </c>
      <c r="E52" t="s">
        <v>34</v>
      </c>
      <c r="F52" t="s">
        <v>16</v>
      </c>
      <c r="G52" t="s">
        <v>34</v>
      </c>
      <c r="H52" t="s">
        <v>35</v>
      </c>
      <c r="I52" t="s">
        <v>36</v>
      </c>
      <c r="J52">
        <v>1</v>
      </c>
      <c r="K52">
        <v>1060</v>
      </c>
      <c r="L52">
        <v>15</v>
      </c>
      <c r="M52">
        <v>901</v>
      </c>
      <c r="N52">
        <f>Table1[[#This Row],[SalesAmount]]*0.22</f>
        <v>198.22</v>
      </c>
      <c r="O52">
        <f>Table1[[#This Row],[SalesAmount]]-Table1[[#This Row],[profit]]</f>
        <v>702.78</v>
      </c>
      <c r="P52">
        <f>Table1[[#This Row],[UnitPrice]]*Table1[[#This Row],[Quantity]]</f>
        <v>1060</v>
      </c>
      <c r="Q52">
        <f>Table1[[#This Row],[UnitPrice]]/Table1[[#This Row],[Quantity]]</f>
        <v>1060</v>
      </c>
      <c r="R52" t="str">
        <f t="shared" si="1"/>
        <v>Winter</v>
      </c>
    </row>
  </sheetData>
  <conditionalFormatting sqref="A2:A5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Nani</dc:creator>
  <cp:lastModifiedBy>Manikanta Nani</cp:lastModifiedBy>
  <dcterms:created xsi:type="dcterms:W3CDTF">2025-11-16T13:38:18Z</dcterms:created>
  <dcterms:modified xsi:type="dcterms:W3CDTF">2025-11-25T15:23:06Z</dcterms:modified>
</cp:coreProperties>
</file>